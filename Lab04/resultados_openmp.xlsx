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2 Critical" sheetId="1" state="visible" r:id="rId1"/>
    <sheet name="Ex2 Reduction" sheetId="2" state="visible" r:id="rId2"/>
    <sheet name="Ex3 Sequencial" sheetId="3" state="visible" r:id="rId3"/>
    <sheet name="Ex3 Paralel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sz val="12"/>
    </font>
    <font>
      <name val="Arial"/>
      <b val="1"/>
      <color rgb="00FFFFFF"/>
    </font>
    <font>
      <name val="Arial"/>
      <color rgb="000000FF"/>
    </font>
    <font>
      <name val="Arial"/>
      <color rgb="00000000"/>
    </font>
    <font>
      <name val="Arial"/>
      <color theme="1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164" fontId="5" fillId="0" borderId="1" pivotButton="0" quotePrefix="0" xfId="0"/>
    <xf numFmtId="164" fontId="6" fillId="0" borderId="1" pivotButton="0" quotePrefix="0" xfId="0"/>
    <xf numFmtId="2" fontId="6" fillId="0" borderId="1" pivotButton="0" quotePrefix="0" xfId="0"/>
    <xf numFmtId="0" fontId="6" fillId="0" borderId="1" pivotButton="0" quotePrefix="0" xfId="0"/>
    <xf numFmtId="164" fontId="7" fillId="0" borderId="1" pivotButton="0" quotePrefix="0" xfId="0"/>
    <xf numFmtId="2" fontId="7" fillId="0" borderId="1" pivotButton="0" quotePrefix="0" xfId="0"/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Speedup – escalabilidade forte</a:t>
            </a:r>
          </a:p>
        </rich>
      </tx>
    </title>
    <plotArea>
      <lineChart>
        <grouping val="standard"/>
        <ser>
          <idx val="0"/>
          <order val="0"/>
          <tx>
            <strRef>
              <f>'Ex2 Critical'!N5</f>
            </strRef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'Ex2 Critical'!$A$6:$A$11</f>
            </numRef>
          </cat>
          <val>
            <numRef>
              <f>'Ex2 Critical'!$N$6:$N$11</f>
            </numRef>
          </val>
        </ser>
        <ser>
          <idx val="1"/>
          <order val="1"/>
          <tx>
            <strRef>
              <f>'Ex2 Critical'!P5</f>
            </strRef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'Ex2 Critical'!$A$6:$A$11</f>
            </numRef>
          </cat>
          <val>
            <numRef>
              <f>'Ex2 Critical'!$P$6:$P$11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Threads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Speedup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Speedup escalado – escalabilidade fraca</a:t>
            </a:r>
          </a:p>
        </rich>
      </tx>
    </title>
    <plotArea>
      <lineChart>
        <grouping val="standard"/>
        <ser>
          <idx val="0"/>
          <order val="0"/>
          <tx>
            <strRef>
              <f>'Ex2 Critical'!N15</f>
            </strRef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'Ex2 Critical'!$A$16:$A$21</f>
            </numRef>
          </cat>
          <val>
            <numRef>
              <f>'Ex2 Critical'!$N$16:$N$21</f>
            </numRef>
          </val>
        </ser>
        <ser>
          <idx val="1"/>
          <order val="1"/>
          <tx>
            <strRef>
              <f>'Ex2 Critical'!P15</f>
            </strRef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'Ex2 Critical'!$A$16:$A$21</f>
            </numRef>
          </cat>
          <val>
            <numRef>
              <f>'Ex2 Critical'!$P$16:$P$21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Threads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Speedup escalado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Speedup – escalabilidade forte</a:t>
            </a:r>
          </a:p>
        </rich>
      </tx>
    </title>
    <plotArea>
      <lineChart>
        <grouping val="standard"/>
        <ser>
          <idx val="0"/>
          <order val="0"/>
          <tx>
            <strRef>
              <f>'Ex2 Reduction'!N5</f>
            </strRef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'Ex2 Reduction'!$A$6:$A$11</f>
            </numRef>
          </cat>
          <val>
            <numRef>
              <f>'Ex2 Reduction'!$N$6:$N$11</f>
            </numRef>
          </val>
        </ser>
        <ser>
          <idx val="1"/>
          <order val="1"/>
          <tx>
            <strRef>
              <f>'Ex2 Reduction'!P5</f>
            </strRef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'Ex2 Reduction'!$A$6:$A$11</f>
            </numRef>
          </cat>
          <val>
            <numRef>
              <f>'Ex2 Reduction'!$P$6:$P$11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Threads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Speedup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Speedup escalado – escalabilidade fraca</a:t>
            </a:r>
          </a:p>
        </rich>
      </tx>
    </title>
    <plotArea>
      <lineChart>
        <grouping val="standard"/>
        <ser>
          <idx val="0"/>
          <order val="0"/>
          <tx>
            <strRef>
              <f>'Ex2 Reduction'!N15</f>
            </strRef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'Ex2 Reduction'!$A$16:$A$21</f>
            </numRef>
          </cat>
          <val>
            <numRef>
              <f>'Ex2 Reduction'!$N$16:$N$21</f>
            </numRef>
          </val>
        </ser>
        <ser>
          <idx val="1"/>
          <order val="1"/>
          <tx>
            <strRef>
              <f>'Ex2 Reduction'!P15</f>
            </strRef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'Ex2 Reduction'!$A$16:$A$21</f>
            </numRef>
          </cat>
          <val>
            <numRef>
              <f>'Ex2 Reduction'!$P$16:$P$21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Threads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Speedup escalado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Speedup – multiplicação de matrizes</a:t>
            </a:r>
          </a:p>
        </rich>
      </tx>
    </title>
    <plotArea>
      <lineChart>
        <grouping val="standard"/>
        <ser>
          <idx val="0"/>
          <order val="0"/>
          <tx>
            <strRef>
              <f>'Ex3 Paralela'!G3</f>
            </strRef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'Ex3 Paralela'!$A$4:$A$9</f>
            </numRef>
          </cat>
          <val>
            <numRef>
              <f>'Ex3 Paralela'!$G$4:$G$9</f>
            </numRef>
          </val>
        </ser>
        <ser>
          <idx val="1"/>
          <order val="1"/>
          <tx>
            <strRef>
              <f>'Ex3 Paralela'!I3</f>
            </strRef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'Ex3 Paralela'!$A$4:$A$9</f>
            </numRef>
          </cat>
          <val>
            <numRef>
              <f>'Ex3 Paralela'!$I$4:$I$9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Threads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Speedup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Relationship Type="http://schemas.openxmlformats.org/officeDocument/2006/relationships/chart" Target="/xl/charts/chart4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17</col>
      <colOff>0</colOff>
      <row>3</row>
      <rowOff>0</rowOff>
    </from>
    <ext cx="576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17</col>
      <colOff>0</colOff>
      <row>21</row>
      <rowOff>0</rowOff>
    </from>
    <ext cx="5760000" cy="30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17</col>
      <colOff>0</colOff>
      <row>3</row>
      <rowOff>0</rowOff>
    </from>
    <ext cx="576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17</col>
      <colOff>0</colOff>
      <row>21</row>
      <rowOff>0</rowOff>
    </from>
    <ext cx="5760000" cy="30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2</row>
      <rowOff>0</rowOff>
    </from>
    <ext cx="576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7" customWidth="1" min="14" max="14"/>
    <col width="11" customWidth="1" min="15" max="15"/>
    <col width="11" customWidth="1" min="16" max="16"/>
  </cols>
  <sheetData>
    <row r="1">
      <c r="A1" s="1" t="inlineStr">
        <is>
          <t>Exercício 2 – Soma de vetor (versão critical)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Azul = dados medidos (tempos em segundos, de results/*.csv); preto = fórmulas. Média de 10 execuções.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4" t="inlineStr">
        <is>
          <t>Escalabilidade FORTE (N fixo = 2^28 elementos)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5" t="inlineStr">
        <is>
          <t>Threads</t>
        </is>
      </c>
      <c r="B5" s="5" t="inlineStr">
        <is>
          <t>N</t>
        </is>
      </c>
      <c r="C5" s="5" t="inlineStr">
        <is>
          <t>Exec 1</t>
        </is>
      </c>
      <c r="D5" s="5" t="inlineStr">
        <is>
          <t>Exec 2</t>
        </is>
      </c>
      <c r="E5" s="5" t="inlineStr">
        <is>
          <t>Exec 3</t>
        </is>
      </c>
      <c r="F5" s="5" t="inlineStr">
        <is>
          <t>Exec 4</t>
        </is>
      </c>
      <c r="G5" s="5" t="inlineStr">
        <is>
          <t>Exec 5</t>
        </is>
      </c>
      <c r="H5" s="5" t="inlineStr">
        <is>
          <t>Exec 6</t>
        </is>
      </c>
      <c r="I5" s="5" t="inlineStr">
        <is>
          <t>Exec 7</t>
        </is>
      </c>
      <c r="J5" s="5" t="inlineStr">
        <is>
          <t>Exec 8</t>
        </is>
      </c>
      <c r="K5" s="5" t="inlineStr">
        <is>
          <t>Exec 9</t>
        </is>
      </c>
      <c r="L5" s="5" t="inlineStr">
        <is>
          <t>Exec 10</t>
        </is>
      </c>
      <c r="M5" s="5" t="inlineStr">
        <is>
          <t>Média (s)</t>
        </is>
      </c>
      <c r="N5" s="5" t="inlineStr">
        <is>
          <t>Speedup</t>
        </is>
      </c>
      <c r="O5" s="5" t="inlineStr">
        <is>
          <t>Eficiência</t>
        </is>
      </c>
      <c r="P5" s="5" t="inlineStr">
        <is>
          <t>Ideal</t>
        </is>
      </c>
    </row>
    <row r="6">
      <c r="A6" s="6" t="n">
        <v>1</v>
      </c>
      <c r="B6" s="6" t="n">
        <v>268435456</v>
      </c>
      <c r="C6" s="7" t="n">
        <v>0.206233</v>
      </c>
      <c r="D6" s="7" t="n">
        <v>0.12993</v>
      </c>
      <c r="E6" s="7" t="n">
        <v>0.100045</v>
      </c>
      <c r="F6" s="7" t="n">
        <v>0.100235</v>
      </c>
      <c r="G6" s="7" t="n">
        <v>0.09295399999999999</v>
      </c>
      <c r="H6" s="7" t="n">
        <v>0.09782100000000001</v>
      </c>
      <c r="I6" s="7" t="n">
        <v>0.093625</v>
      </c>
      <c r="J6" s="7" t="n">
        <v>0.090465</v>
      </c>
      <c r="K6" s="7" t="n">
        <v>0.155125</v>
      </c>
      <c r="L6" s="7" t="n">
        <v>0.096516</v>
      </c>
      <c r="M6" s="8">
        <f>IFERROR(AVERAGE(C6:L6),"")</f>
        <v/>
      </c>
      <c r="N6" s="9">
        <f>IFERROR(M$6/M6,"")</f>
        <v/>
      </c>
      <c r="O6" s="9">
        <f>IFERROR(N6/$A6,"")</f>
        <v/>
      </c>
      <c r="P6" s="10">
        <f>A6</f>
        <v/>
      </c>
    </row>
    <row r="7">
      <c r="A7" s="6" t="n">
        <v>2</v>
      </c>
      <c r="B7" s="6" t="n">
        <v>268435456</v>
      </c>
      <c r="C7" s="7" t="n">
        <v>0.105303</v>
      </c>
      <c r="D7" s="7" t="n">
        <v>0.113757</v>
      </c>
      <c r="E7" s="7" t="n">
        <v>0.100441</v>
      </c>
      <c r="F7" s="7" t="n">
        <v>0.100194</v>
      </c>
      <c r="G7" s="7" t="n">
        <v>0.100972</v>
      </c>
      <c r="H7" s="7" t="n">
        <v>0.104101</v>
      </c>
      <c r="I7" s="7" t="n">
        <v>0.100567</v>
      </c>
      <c r="J7" s="7" t="n">
        <v>0.129507</v>
      </c>
      <c r="K7" s="7" t="n">
        <v>0.121392</v>
      </c>
      <c r="L7" s="7" t="n">
        <v>0.111415</v>
      </c>
      <c r="M7" s="8">
        <f>IFERROR(AVERAGE(C7:L7),"")</f>
        <v/>
      </c>
      <c r="N7" s="9">
        <f>IFERROR(M$6/M7,"")</f>
        <v/>
      </c>
      <c r="O7" s="9">
        <f>IFERROR(N7/$A7,"")</f>
        <v/>
      </c>
      <c r="P7" s="10">
        <f>A7</f>
        <v/>
      </c>
    </row>
    <row r="8">
      <c r="A8" s="6" t="n">
        <v>3</v>
      </c>
      <c r="B8" s="6" t="n">
        <v>268435456</v>
      </c>
      <c r="C8" s="7" t="n">
        <v>0.099438</v>
      </c>
      <c r="D8" s="7" t="n">
        <v>0.125131</v>
      </c>
      <c r="E8" s="7" t="n">
        <v>0.111401</v>
      </c>
      <c r="F8" s="7" t="n">
        <v>0.097</v>
      </c>
      <c r="G8" s="7" t="n">
        <v>0.09943200000000001</v>
      </c>
      <c r="H8" s="7" t="n">
        <v>0.099784</v>
      </c>
      <c r="I8" s="7" t="n">
        <v>0.135581</v>
      </c>
      <c r="J8" s="7" t="n">
        <v>0.103598</v>
      </c>
      <c r="K8" s="7" t="n">
        <v>0.118195</v>
      </c>
      <c r="L8" s="7" t="n">
        <v>0.10936</v>
      </c>
      <c r="M8" s="8">
        <f>IFERROR(AVERAGE(C8:L8),"")</f>
        <v/>
      </c>
      <c r="N8" s="9">
        <f>IFERROR(M$6/M8,"")</f>
        <v/>
      </c>
      <c r="O8" s="9">
        <f>IFERROR(N8/$A8,"")</f>
        <v/>
      </c>
      <c r="P8" s="10">
        <f>A8</f>
        <v/>
      </c>
    </row>
    <row r="9">
      <c r="A9" s="6" t="n">
        <v>4</v>
      </c>
      <c r="B9" s="6" t="n">
        <v>268435456</v>
      </c>
      <c r="C9" s="7" t="n">
        <v>0.100153</v>
      </c>
      <c r="D9" s="7" t="n">
        <v>0.111411</v>
      </c>
      <c r="E9" s="7" t="n">
        <v>0.103387</v>
      </c>
      <c r="F9" s="7" t="n">
        <v>0.120204</v>
      </c>
      <c r="G9" s="7" t="n">
        <v>0.123517</v>
      </c>
      <c r="H9" s="7" t="n">
        <v>0.099547</v>
      </c>
      <c r="I9" s="7" t="n">
        <v>0.09923999999999999</v>
      </c>
      <c r="J9" s="7" t="n">
        <v>0.099096</v>
      </c>
      <c r="K9" s="7" t="n">
        <v>0.114567</v>
      </c>
      <c r="L9" s="7" t="n">
        <v>0.116591</v>
      </c>
      <c r="M9" s="8">
        <f>IFERROR(AVERAGE(C9:L9),"")</f>
        <v/>
      </c>
      <c r="N9" s="9">
        <f>IFERROR(M$6/M9,"")</f>
        <v/>
      </c>
      <c r="O9" s="9">
        <f>IFERROR(N9/$A9,"")</f>
        <v/>
      </c>
      <c r="P9" s="10">
        <f>A9</f>
        <v/>
      </c>
    </row>
    <row r="10">
      <c r="A10" s="6" t="n">
        <v>5</v>
      </c>
      <c r="B10" s="6" t="n">
        <v>268435456</v>
      </c>
      <c r="C10" s="7" t="n">
        <v>0.099148</v>
      </c>
      <c r="D10" s="7" t="n">
        <v>0.098661</v>
      </c>
      <c r="E10" s="7" t="n">
        <v>0.097631</v>
      </c>
      <c r="F10" s="7" t="n">
        <v>0.100882</v>
      </c>
      <c r="G10" s="7" t="n">
        <v>0.110576</v>
      </c>
      <c r="H10" s="7" t="n">
        <v>0.106529</v>
      </c>
      <c r="I10" s="7" t="n">
        <v>0.137201</v>
      </c>
      <c r="J10" s="7" t="n">
        <v>0.111168</v>
      </c>
      <c r="K10" s="7" t="n">
        <v>0.107104</v>
      </c>
      <c r="L10" s="7" t="n">
        <v>0.10408</v>
      </c>
      <c r="M10" s="8">
        <f>IFERROR(AVERAGE(C10:L10),"")</f>
        <v/>
      </c>
      <c r="N10" s="9">
        <f>IFERROR(M$6/M10,"")</f>
        <v/>
      </c>
      <c r="O10" s="9">
        <f>IFERROR(N10/$A10,"")</f>
        <v/>
      </c>
      <c r="P10" s="10">
        <f>A10</f>
        <v/>
      </c>
    </row>
    <row r="11">
      <c r="A11" s="6" t="n">
        <v>6</v>
      </c>
      <c r="B11" s="6" t="n">
        <v>268435456</v>
      </c>
      <c r="C11" s="7" t="n">
        <v>0.108601</v>
      </c>
      <c r="D11" s="7" t="n">
        <v>0.110038</v>
      </c>
      <c r="E11" s="7" t="n">
        <v>0.125636</v>
      </c>
      <c r="F11" s="7" t="n">
        <v>0.109622</v>
      </c>
      <c r="G11" s="7" t="n">
        <v>0.100785</v>
      </c>
      <c r="H11" s="7" t="n">
        <v>0.107868</v>
      </c>
      <c r="I11" s="7" t="n">
        <v>0.100822</v>
      </c>
      <c r="J11" s="7" t="n">
        <v>0.133129</v>
      </c>
      <c r="K11" s="7" t="n">
        <v>0.168959</v>
      </c>
      <c r="L11" s="7" t="n">
        <v>0.149297</v>
      </c>
      <c r="M11" s="8">
        <f>IFERROR(AVERAGE(C11:L11),"")</f>
        <v/>
      </c>
      <c r="N11" s="9">
        <f>IFERROR(M$6/M11,"")</f>
        <v/>
      </c>
      <c r="O11" s="9">
        <f>IFERROR(N11/$A11,"")</f>
        <v/>
      </c>
      <c r="P11" s="10">
        <f>A11</f>
        <v/>
      </c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4" t="inlineStr">
        <is>
          <t>Escalabilidade FRACA (N = threads × 2^27; máximo 6×2^27 ≤ 2^30)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5" t="inlineStr">
        <is>
          <t>Threads</t>
        </is>
      </c>
      <c r="B15" s="5" t="inlineStr">
        <is>
          <t>N</t>
        </is>
      </c>
      <c r="C15" s="5" t="inlineStr">
        <is>
          <t>Exec 1</t>
        </is>
      </c>
      <c r="D15" s="5" t="inlineStr">
        <is>
          <t>Exec 2</t>
        </is>
      </c>
      <c r="E15" s="5" t="inlineStr">
        <is>
          <t>Exec 3</t>
        </is>
      </c>
      <c r="F15" s="5" t="inlineStr">
        <is>
          <t>Exec 4</t>
        </is>
      </c>
      <c r="G15" s="5" t="inlineStr">
        <is>
          <t>Exec 5</t>
        </is>
      </c>
      <c r="H15" s="5" t="inlineStr">
        <is>
          <t>Exec 6</t>
        </is>
      </c>
      <c r="I15" s="5" t="inlineStr">
        <is>
          <t>Exec 7</t>
        </is>
      </c>
      <c r="J15" s="5" t="inlineStr">
        <is>
          <t>Exec 8</t>
        </is>
      </c>
      <c r="K15" s="5" t="inlineStr">
        <is>
          <t>Exec 9</t>
        </is>
      </c>
      <c r="L15" s="5" t="inlineStr">
        <is>
          <t>Exec 10</t>
        </is>
      </c>
      <c r="M15" s="5" t="inlineStr">
        <is>
          <t>Média (s)</t>
        </is>
      </c>
      <c r="N15" s="5" t="inlineStr">
        <is>
          <t>Speedup escalado</t>
        </is>
      </c>
      <c r="O15" s="5" t="inlineStr">
        <is>
          <t>Eficiência</t>
        </is>
      </c>
      <c r="P15" s="5" t="inlineStr">
        <is>
          <t>Ideal</t>
        </is>
      </c>
    </row>
    <row r="16">
      <c r="A16" s="6" t="n">
        <v>1</v>
      </c>
      <c r="B16" s="6" t="n">
        <v>134217728</v>
      </c>
      <c r="C16" s="7" t="n">
        <v>0.06315999999999999</v>
      </c>
      <c r="D16" s="7" t="n">
        <v>0.046366</v>
      </c>
      <c r="E16" s="7" t="n">
        <v>0.046257</v>
      </c>
      <c r="F16" s="7" t="n">
        <v>0.047095</v>
      </c>
      <c r="G16" s="7" t="n">
        <v>0.046054</v>
      </c>
      <c r="H16" s="7" t="n">
        <v>0.045835</v>
      </c>
      <c r="I16" s="7" t="n">
        <v>0.075671</v>
      </c>
      <c r="J16" s="7" t="n">
        <v>0.093748</v>
      </c>
      <c r="K16" s="7" t="n">
        <v>0.068125</v>
      </c>
      <c r="L16" s="7" t="n">
        <v>0.060173</v>
      </c>
      <c r="M16" s="8">
        <f>IFERROR(AVERAGE(C16:L16),"")</f>
        <v/>
      </c>
      <c r="N16" s="9">
        <f>IFERROR($A16*M$16/M16,"")</f>
        <v/>
      </c>
      <c r="O16" s="9">
        <f>IFERROR(M$16/M16,"")</f>
        <v/>
      </c>
      <c r="P16" s="10">
        <f>A16</f>
        <v/>
      </c>
    </row>
    <row r="17">
      <c r="A17" s="6" t="n">
        <v>2</v>
      </c>
      <c r="B17" s="6" t="n">
        <v>268435456</v>
      </c>
      <c r="C17" s="7" t="n">
        <v>0.164152</v>
      </c>
      <c r="D17" s="7" t="n">
        <v>0.100284</v>
      </c>
      <c r="E17" s="7" t="n">
        <v>0.117331</v>
      </c>
      <c r="F17" s="7" t="n">
        <v>0.133802</v>
      </c>
      <c r="G17" s="7" t="n">
        <v>0.101535</v>
      </c>
      <c r="H17" s="7" t="n">
        <v>0.117283</v>
      </c>
      <c r="I17" s="7" t="n">
        <v>0.100221</v>
      </c>
      <c r="J17" s="7" t="n">
        <v>0.113409</v>
      </c>
      <c r="K17" s="7" t="n">
        <v>0.100165</v>
      </c>
      <c r="L17" s="7" t="n">
        <v>0.140768</v>
      </c>
      <c r="M17" s="8">
        <f>IFERROR(AVERAGE(C17:L17),"")</f>
        <v/>
      </c>
      <c r="N17" s="9">
        <f>IFERROR($A17*M$16/M17,"")</f>
        <v/>
      </c>
      <c r="O17" s="9">
        <f>IFERROR(M$16/M17,"")</f>
        <v/>
      </c>
      <c r="P17" s="10">
        <f>A17</f>
        <v/>
      </c>
    </row>
    <row r="18">
      <c r="A18" s="6" t="n">
        <v>3</v>
      </c>
      <c r="B18" s="6" t="n">
        <v>402653184</v>
      </c>
      <c r="C18" s="7" t="n">
        <v>0.187685</v>
      </c>
      <c r="D18" s="7" t="n">
        <v>0.155163</v>
      </c>
      <c r="E18" s="7" t="n">
        <v>0.159589</v>
      </c>
      <c r="F18" s="7" t="n">
        <v>0.163826</v>
      </c>
      <c r="G18" s="7" t="n">
        <v>0.154306</v>
      </c>
      <c r="H18" s="7" t="n">
        <v>0.182086</v>
      </c>
      <c r="I18" s="7" t="n">
        <v>0.14821</v>
      </c>
      <c r="J18" s="7" t="n">
        <v>0.177994</v>
      </c>
      <c r="K18" s="7" t="n">
        <v>0.148216</v>
      </c>
      <c r="L18" s="7" t="n">
        <v>0.163995</v>
      </c>
      <c r="M18" s="8">
        <f>IFERROR(AVERAGE(C18:L18),"")</f>
        <v/>
      </c>
      <c r="N18" s="9">
        <f>IFERROR($A18*M$16/M18,"")</f>
        <v/>
      </c>
      <c r="O18" s="9">
        <f>IFERROR(M$16/M18,"")</f>
        <v/>
      </c>
      <c r="P18" s="10">
        <f>A18</f>
        <v/>
      </c>
    </row>
    <row r="19">
      <c r="A19" s="6" t="n">
        <v>4</v>
      </c>
      <c r="B19" s="6" t="n">
        <v>536870912</v>
      </c>
      <c r="C19" s="7" t="n">
        <v>0.199417</v>
      </c>
      <c r="D19" s="7" t="n">
        <v>0.210525</v>
      </c>
      <c r="E19" s="7" t="n">
        <v>0.295476</v>
      </c>
      <c r="F19" s="7" t="n">
        <v>0.291957</v>
      </c>
      <c r="G19" s="7" t="n">
        <v>0.211343</v>
      </c>
      <c r="H19" s="7" t="n">
        <v>0.197833</v>
      </c>
      <c r="I19" s="7" t="n">
        <v>0.207936</v>
      </c>
      <c r="J19" s="7" t="n">
        <v>0.239923</v>
      </c>
      <c r="K19" s="7" t="n">
        <v>0.199134</v>
      </c>
      <c r="L19" s="7" t="n">
        <v>0.20191</v>
      </c>
      <c r="M19" s="8">
        <f>IFERROR(AVERAGE(C19:L19),"")</f>
        <v/>
      </c>
      <c r="N19" s="9">
        <f>IFERROR($A19*M$16/M19,"")</f>
        <v/>
      </c>
      <c r="O19" s="9">
        <f>IFERROR(M$16/M19,"")</f>
        <v/>
      </c>
      <c r="P19" s="10">
        <f>A19</f>
        <v/>
      </c>
    </row>
    <row r="20">
      <c r="A20" s="6" t="n">
        <v>5</v>
      </c>
      <c r="B20" s="6" t="n">
        <v>671088640</v>
      </c>
      <c r="C20" s="7" t="n">
        <v>0.264106</v>
      </c>
      <c r="D20" s="7" t="n">
        <v>0.252551</v>
      </c>
      <c r="E20" s="7" t="n">
        <v>0.403716</v>
      </c>
      <c r="F20" s="7" t="n">
        <v>0.278748</v>
      </c>
      <c r="G20" s="7" t="n">
        <v>0.257566</v>
      </c>
      <c r="H20" s="7" t="n">
        <v>0.261539</v>
      </c>
      <c r="I20" s="7" t="n">
        <v>0.317011</v>
      </c>
      <c r="J20" s="7" t="n">
        <v>0.260457</v>
      </c>
      <c r="K20" s="7" t="n">
        <v>0.252109</v>
      </c>
      <c r="L20" s="7" t="n">
        <v>0.255047</v>
      </c>
      <c r="M20" s="8">
        <f>IFERROR(AVERAGE(C20:L20),"")</f>
        <v/>
      </c>
      <c r="N20" s="9">
        <f>IFERROR($A20*M$16/M20,"")</f>
        <v/>
      </c>
      <c r="O20" s="9">
        <f>IFERROR(M$16/M20,"")</f>
        <v/>
      </c>
      <c r="P20" s="10">
        <f>A20</f>
        <v/>
      </c>
    </row>
    <row r="21">
      <c r="A21" s="6" t="n">
        <v>6</v>
      </c>
      <c r="B21" s="6" t="n">
        <v>805306368</v>
      </c>
      <c r="C21" s="7" t="n">
        <v>0.306768</v>
      </c>
      <c r="D21" s="7" t="n">
        <v>0.305953</v>
      </c>
      <c r="E21" s="7" t="n">
        <v>0.317327</v>
      </c>
      <c r="F21" s="7" t="n">
        <v>0.307753</v>
      </c>
      <c r="G21" s="7" t="n">
        <v>0.299281</v>
      </c>
      <c r="H21" s="7" t="n">
        <v>0.313411</v>
      </c>
      <c r="I21" s="7" t="n">
        <v>0.40141</v>
      </c>
      <c r="J21" s="7" t="n">
        <v>0.32104</v>
      </c>
      <c r="K21" s="7" t="n">
        <v>0.302968</v>
      </c>
      <c r="L21" s="7" t="n">
        <v>0.296078</v>
      </c>
      <c r="M21" s="8">
        <f>IFERROR(AVERAGE(C21:L21),"")</f>
        <v/>
      </c>
      <c r="N21" s="9">
        <f>IFERROR($A21*M$16/M21,"")</f>
        <v/>
      </c>
      <c r="O21" s="9">
        <f>IFERROR(M$16/M21,"")</f>
        <v/>
      </c>
      <c r="P21" s="10">
        <f>A21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7" customWidth="1" min="14" max="14"/>
    <col width="11" customWidth="1" min="15" max="15"/>
    <col width="11" customWidth="1" min="16" max="16"/>
  </cols>
  <sheetData>
    <row r="1">
      <c r="A1" s="1" t="inlineStr">
        <is>
          <t>Exercício 2 – Soma de vetor (versão reduction)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Azul = dados medidos (tempos em segundos, de results/*.csv); preto = fórmulas. Média de 10 execuções.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4" t="inlineStr">
        <is>
          <t>Escalabilidade FORTE (N fixo = 2^28 elementos)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5" t="inlineStr">
        <is>
          <t>Threads</t>
        </is>
      </c>
      <c r="B5" s="5" t="inlineStr">
        <is>
          <t>N</t>
        </is>
      </c>
      <c r="C5" s="5" t="inlineStr">
        <is>
          <t>Exec 1</t>
        </is>
      </c>
      <c r="D5" s="5" t="inlineStr">
        <is>
          <t>Exec 2</t>
        </is>
      </c>
      <c r="E5" s="5" t="inlineStr">
        <is>
          <t>Exec 3</t>
        </is>
      </c>
      <c r="F5" s="5" t="inlineStr">
        <is>
          <t>Exec 4</t>
        </is>
      </c>
      <c r="G5" s="5" t="inlineStr">
        <is>
          <t>Exec 5</t>
        </is>
      </c>
      <c r="H5" s="5" t="inlineStr">
        <is>
          <t>Exec 6</t>
        </is>
      </c>
      <c r="I5" s="5" t="inlineStr">
        <is>
          <t>Exec 7</t>
        </is>
      </c>
      <c r="J5" s="5" t="inlineStr">
        <is>
          <t>Exec 8</t>
        </is>
      </c>
      <c r="K5" s="5" t="inlineStr">
        <is>
          <t>Exec 9</t>
        </is>
      </c>
      <c r="L5" s="5" t="inlineStr">
        <is>
          <t>Exec 10</t>
        </is>
      </c>
      <c r="M5" s="5" t="inlineStr">
        <is>
          <t>Média (s)</t>
        </is>
      </c>
      <c r="N5" s="5" t="inlineStr">
        <is>
          <t>Speedup</t>
        </is>
      </c>
      <c r="O5" s="5" t="inlineStr">
        <is>
          <t>Eficiência</t>
        </is>
      </c>
      <c r="P5" s="5" t="inlineStr">
        <is>
          <t>Ideal</t>
        </is>
      </c>
    </row>
    <row r="6">
      <c r="A6" s="6" t="n">
        <v>1</v>
      </c>
      <c r="B6" s="6" t="n">
        <v>268435456</v>
      </c>
      <c r="C6" s="7" t="n">
        <v>0.093927</v>
      </c>
      <c r="D6" s="7" t="n">
        <v>0.131689</v>
      </c>
      <c r="E6" s="7" t="n">
        <v>0.09374</v>
      </c>
      <c r="F6" s="7" t="n">
        <v>0.094953</v>
      </c>
      <c r="G6" s="7" t="n">
        <v>0.09660199999999999</v>
      </c>
      <c r="H6" s="7" t="n">
        <v>0.107895</v>
      </c>
      <c r="I6" s="7" t="n">
        <v>0.09571399999999999</v>
      </c>
      <c r="J6" s="7" t="n">
        <v>0.09209299999999999</v>
      </c>
      <c r="K6" s="7" t="n">
        <v>0.106534</v>
      </c>
      <c r="L6" s="7" t="n">
        <v>0.09281</v>
      </c>
      <c r="M6" s="8">
        <f>IFERROR(AVERAGE(C6:L6),"")</f>
        <v/>
      </c>
      <c r="N6" s="9">
        <f>IFERROR(M$6/M6,"")</f>
        <v/>
      </c>
      <c r="O6" s="9">
        <f>IFERROR(N6/$A6,"")</f>
        <v/>
      </c>
      <c r="P6" s="10">
        <f>A6</f>
        <v/>
      </c>
    </row>
    <row r="7">
      <c r="A7" s="6" t="n">
        <v>2</v>
      </c>
      <c r="B7" s="6" t="n">
        <v>268435456</v>
      </c>
      <c r="C7" s="7" t="n">
        <v>0.099339</v>
      </c>
      <c r="D7" s="7" t="n">
        <v>0.116157</v>
      </c>
      <c r="E7" s="7" t="n">
        <v>0.098745</v>
      </c>
      <c r="F7" s="7" t="n">
        <v>0.138064</v>
      </c>
      <c r="G7" s="7" t="n">
        <v>0.107273</v>
      </c>
      <c r="H7" s="7" t="n">
        <v>0.175484</v>
      </c>
      <c r="I7" s="7" t="n">
        <v>0.169656</v>
      </c>
      <c r="J7" s="7" t="n">
        <v>0.130758</v>
      </c>
      <c r="K7" s="7" t="n">
        <v>0.101129</v>
      </c>
      <c r="L7" s="7" t="n">
        <v>0.159231</v>
      </c>
      <c r="M7" s="8">
        <f>IFERROR(AVERAGE(C7:L7),"")</f>
        <v/>
      </c>
      <c r="N7" s="9">
        <f>IFERROR(M$6/M7,"")</f>
        <v/>
      </c>
      <c r="O7" s="9">
        <f>IFERROR(N7/$A7,"")</f>
        <v/>
      </c>
      <c r="P7" s="10">
        <f>A7</f>
        <v/>
      </c>
    </row>
    <row r="8">
      <c r="A8" s="6" t="n">
        <v>3</v>
      </c>
      <c r="B8" s="6" t="n">
        <v>268435456</v>
      </c>
      <c r="C8" s="7" t="n">
        <v>0.101417</v>
      </c>
      <c r="D8" s="7" t="n">
        <v>0.101577</v>
      </c>
      <c r="E8" s="7" t="n">
        <v>0.11185</v>
      </c>
      <c r="F8" s="7" t="n">
        <v>0.102422</v>
      </c>
      <c r="G8" s="7" t="n">
        <v>0.103652</v>
      </c>
      <c r="H8" s="7" t="n">
        <v>0.101985</v>
      </c>
      <c r="I8" s="7" t="n">
        <v>0.115232</v>
      </c>
      <c r="J8" s="7" t="n">
        <v>0.106248</v>
      </c>
      <c r="K8" s="7" t="n">
        <v>0.104786</v>
      </c>
      <c r="L8" s="7" t="n">
        <v>0.105549</v>
      </c>
      <c r="M8" s="8">
        <f>IFERROR(AVERAGE(C8:L8),"")</f>
        <v/>
      </c>
      <c r="N8" s="9">
        <f>IFERROR(M$6/M8,"")</f>
        <v/>
      </c>
      <c r="O8" s="9">
        <f>IFERROR(N8/$A8,"")</f>
        <v/>
      </c>
      <c r="P8" s="10">
        <f>A8</f>
        <v/>
      </c>
    </row>
    <row r="9">
      <c r="A9" s="6" t="n">
        <v>4</v>
      </c>
      <c r="B9" s="6" t="n">
        <v>268435456</v>
      </c>
      <c r="C9" s="7" t="n">
        <v>0.102654</v>
      </c>
      <c r="D9" s="7" t="n">
        <v>0.122814</v>
      </c>
      <c r="E9" s="7" t="n">
        <v>0.100838</v>
      </c>
      <c r="F9" s="7" t="n">
        <v>0.109886</v>
      </c>
      <c r="G9" s="7" t="n">
        <v>0.09740699999999999</v>
      </c>
      <c r="H9" s="7" t="n">
        <v>0.104595</v>
      </c>
      <c r="I9" s="7" t="n">
        <v>0.108565</v>
      </c>
      <c r="J9" s="7" t="n">
        <v>0.111692</v>
      </c>
      <c r="K9" s="7" t="n">
        <v>0.132287</v>
      </c>
      <c r="L9" s="7" t="n">
        <v>0.113594</v>
      </c>
      <c r="M9" s="8">
        <f>IFERROR(AVERAGE(C9:L9),"")</f>
        <v/>
      </c>
      <c r="N9" s="9">
        <f>IFERROR(M$6/M9,"")</f>
        <v/>
      </c>
      <c r="O9" s="9">
        <f>IFERROR(N9/$A9,"")</f>
        <v/>
      </c>
      <c r="P9" s="10">
        <f>A9</f>
        <v/>
      </c>
    </row>
    <row r="10">
      <c r="A10" s="6" t="n">
        <v>5</v>
      </c>
      <c r="B10" s="6" t="n">
        <v>268435456</v>
      </c>
      <c r="C10" s="7" t="n">
        <v>0.10054</v>
      </c>
      <c r="D10" s="7" t="n">
        <v>0.109631</v>
      </c>
      <c r="E10" s="7" t="n">
        <v>0.110565</v>
      </c>
      <c r="F10" s="7" t="n">
        <v>0.110964</v>
      </c>
      <c r="G10" s="7" t="n">
        <v>0.10599</v>
      </c>
      <c r="H10" s="7" t="n">
        <v>0.10203</v>
      </c>
      <c r="I10" s="7" t="n">
        <v>0.102474</v>
      </c>
      <c r="J10" s="7" t="n">
        <v>0.100441</v>
      </c>
      <c r="K10" s="7" t="n">
        <v>0.100751</v>
      </c>
      <c r="L10" s="7" t="n">
        <v>0.101154</v>
      </c>
      <c r="M10" s="8">
        <f>IFERROR(AVERAGE(C10:L10),"")</f>
        <v/>
      </c>
      <c r="N10" s="9">
        <f>IFERROR(M$6/M10,"")</f>
        <v/>
      </c>
      <c r="O10" s="9">
        <f>IFERROR(N10/$A10,"")</f>
        <v/>
      </c>
      <c r="P10" s="10">
        <f>A10</f>
        <v/>
      </c>
    </row>
    <row r="11">
      <c r="A11" s="6" t="n">
        <v>6</v>
      </c>
      <c r="B11" s="6" t="n">
        <v>268435456</v>
      </c>
      <c r="C11" s="7" t="n">
        <v>0.100738</v>
      </c>
      <c r="D11" s="7" t="n">
        <v>0.103199</v>
      </c>
      <c r="E11" s="7" t="n">
        <v>0.100623</v>
      </c>
      <c r="F11" s="7" t="n">
        <v>0.101073</v>
      </c>
      <c r="G11" s="7" t="n">
        <v>0.100716</v>
      </c>
      <c r="H11" s="7" t="n">
        <v>0.116912</v>
      </c>
      <c r="I11" s="7" t="n">
        <v>0.157932</v>
      </c>
      <c r="J11" s="7" t="n">
        <v>0.180708</v>
      </c>
      <c r="K11" s="7" t="n">
        <v>0.112706</v>
      </c>
      <c r="L11" s="7" t="n">
        <v>0.106583</v>
      </c>
      <c r="M11" s="8">
        <f>IFERROR(AVERAGE(C11:L11),"")</f>
        <v/>
      </c>
      <c r="N11" s="9">
        <f>IFERROR(M$6/M11,"")</f>
        <v/>
      </c>
      <c r="O11" s="9">
        <f>IFERROR(N11/$A11,"")</f>
        <v/>
      </c>
      <c r="P11" s="10">
        <f>A11</f>
        <v/>
      </c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4" t="inlineStr">
        <is>
          <t>Escalabilidade FRACA (N = threads × 2^27; máximo 6×2^27 ≤ 2^30)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5" t="inlineStr">
        <is>
          <t>Threads</t>
        </is>
      </c>
      <c r="B15" s="5" t="inlineStr">
        <is>
          <t>N</t>
        </is>
      </c>
      <c r="C15" s="5" t="inlineStr">
        <is>
          <t>Exec 1</t>
        </is>
      </c>
      <c r="D15" s="5" t="inlineStr">
        <is>
          <t>Exec 2</t>
        </is>
      </c>
      <c r="E15" s="5" t="inlineStr">
        <is>
          <t>Exec 3</t>
        </is>
      </c>
      <c r="F15" s="5" t="inlineStr">
        <is>
          <t>Exec 4</t>
        </is>
      </c>
      <c r="G15" s="5" t="inlineStr">
        <is>
          <t>Exec 5</t>
        </is>
      </c>
      <c r="H15" s="5" t="inlineStr">
        <is>
          <t>Exec 6</t>
        </is>
      </c>
      <c r="I15" s="5" t="inlineStr">
        <is>
          <t>Exec 7</t>
        </is>
      </c>
      <c r="J15" s="5" t="inlineStr">
        <is>
          <t>Exec 8</t>
        </is>
      </c>
      <c r="K15" s="5" t="inlineStr">
        <is>
          <t>Exec 9</t>
        </is>
      </c>
      <c r="L15" s="5" t="inlineStr">
        <is>
          <t>Exec 10</t>
        </is>
      </c>
      <c r="M15" s="5" t="inlineStr">
        <is>
          <t>Média (s)</t>
        </is>
      </c>
      <c r="N15" s="5" t="inlineStr">
        <is>
          <t>Speedup escalado</t>
        </is>
      </c>
      <c r="O15" s="5" t="inlineStr">
        <is>
          <t>Eficiência</t>
        </is>
      </c>
      <c r="P15" s="5" t="inlineStr">
        <is>
          <t>Ideal</t>
        </is>
      </c>
    </row>
    <row r="16">
      <c r="A16" s="6" t="n">
        <v>1</v>
      </c>
      <c r="B16" s="6" t="n">
        <v>134217728</v>
      </c>
      <c r="C16" s="7" t="n">
        <v>0.04696</v>
      </c>
      <c r="D16" s="7" t="n">
        <v>0.048418</v>
      </c>
      <c r="E16" s="7" t="n">
        <v>0.046438</v>
      </c>
      <c r="F16" s="7" t="n">
        <v>0.046463</v>
      </c>
      <c r="G16" s="7" t="n">
        <v>0.046784</v>
      </c>
      <c r="H16" s="7" t="n">
        <v>0.061048</v>
      </c>
      <c r="I16" s="7" t="n">
        <v>0.07571600000000001</v>
      </c>
      <c r="J16" s="7" t="n">
        <v>0.046159</v>
      </c>
      <c r="K16" s="7" t="n">
        <v>0.055023</v>
      </c>
      <c r="L16" s="7" t="n">
        <v>0.045639</v>
      </c>
      <c r="M16" s="8">
        <f>IFERROR(AVERAGE(C16:L16),"")</f>
        <v/>
      </c>
      <c r="N16" s="9">
        <f>IFERROR($A16*M$16/M16,"")</f>
        <v/>
      </c>
      <c r="O16" s="9">
        <f>IFERROR(M$16/M16,"")</f>
        <v/>
      </c>
      <c r="P16" s="10">
        <f>A16</f>
        <v/>
      </c>
    </row>
    <row r="17">
      <c r="A17" s="6" t="n">
        <v>2</v>
      </c>
      <c r="B17" s="6" t="n">
        <v>268435456</v>
      </c>
      <c r="C17" s="7" t="n">
        <v>0.113541</v>
      </c>
      <c r="D17" s="7" t="n">
        <v>0.106554</v>
      </c>
      <c r="E17" s="7" t="n">
        <v>0.117684</v>
      </c>
      <c r="F17" s="7" t="n">
        <v>0.152736</v>
      </c>
      <c r="G17" s="7" t="n">
        <v>0.103142</v>
      </c>
      <c r="H17" s="7" t="n">
        <v>0.104938</v>
      </c>
      <c r="I17" s="7" t="n">
        <v>0.101453</v>
      </c>
      <c r="J17" s="7" t="n">
        <v>0.102134</v>
      </c>
      <c r="K17" s="7" t="n">
        <v>0.104695</v>
      </c>
      <c r="L17" s="7" t="n">
        <v>0.10403</v>
      </c>
      <c r="M17" s="8">
        <f>IFERROR(AVERAGE(C17:L17),"")</f>
        <v/>
      </c>
      <c r="N17" s="9">
        <f>IFERROR($A17*M$16/M17,"")</f>
        <v/>
      </c>
      <c r="O17" s="9">
        <f>IFERROR(M$16/M17,"")</f>
        <v/>
      </c>
      <c r="P17" s="10">
        <f>A17</f>
        <v/>
      </c>
    </row>
    <row r="18">
      <c r="A18" s="6" t="n">
        <v>3</v>
      </c>
      <c r="B18" s="6" t="n">
        <v>402653184</v>
      </c>
      <c r="C18" s="7" t="n">
        <v>0.188298</v>
      </c>
      <c r="D18" s="7" t="n">
        <v>0.204635</v>
      </c>
      <c r="E18" s="7" t="n">
        <v>0.188118</v>
      </c>
      <c r="F18" s="7" t="n">
        <v>0.15956</v>
      </c>
      <c r="G18" s="7" t="n">
        <v>0.15855</v>
      </c>
      <c r="H18" s="7" t="n">
        <v>0.152775</v>
      </c>
      <c r="I18" s="7" t="n">
        <v>0.165252</v>
      </c>
      <c r="J18" s="7" t="n">
        <v>0.154415</v>
      </c>
      <c r="K18" s="7" t="n">
        <v>0.249549</v>
      </c>
      <c r="L18" s="7" t="n">
        <v>0.155265</v>
      </c>
      <c r="M18" s="8">
        <f>IFERROR(AVERAGE(C18:L18),"")</f>
        <v/>
      </c>
      <c r="N18" s="9">
        <f>IFERROR($A18*M$16/M18,"")</f>
        <v/>
      </c>
      <c r="O18" s="9">
        <f>IFERROR(M$16/M18,"")</f>
        <v/>
      </c>
      <c r="P18" s="10">
        <f>A18</f>
        <v/>
      </c>
    </row>
    <row r="19">
      <c r="A19" s="6" t="n">
        <v>4</v>
      </c>
      <c r="B19" s="6" t="n">
        <v>536870912</v>
      </c>
      <c r="C19" s="7" t="n">
        <v>0.275807</v>
      </c>
      <c r="D19" s="7" t="n">
        <v>0.277433</v>
      </c>
      <c r="E19" s="7" t="n">
        <v>0.285808</v>
      </c>
      <c r="F19" s="7" t="n">
        <v>0.241565</v>
      </c>
      <c r="G19" s="7" t="n">
        <v>0.213428</v>
      </c>
      <c r="H19" s="7" t="n">
        <v>0.20394</v>
      </c>
      <c r="I19" s="7" t="n">
        <v>0.245033</v>
      </c>
      <c r="J19" s="7" t="n">
        <v>0.209187</v>
      </c>
      <c r="K19" s="7" t="n">
        <v>0.203751</v>
      </c>
      <c r="L19" s="7" t="n">
        <v>0.210311</v>
      </c>
      <c r="M19" s="8">
        <f>IFERROR(AVERAGE(C19:L19),"")</f>
        <v/>
      </c>
      <c r="N19" s="9">
        <f>IFERROR($A19*M$16/M19,"")</f>
        <v/>
      </c>
      <c r="O19" s="9">
        <f>IFERROR(M$16/M19,"")</f>
        <v/>
      </c>
      <c r="P19" s="10">
        <f>A19</f>
        <v/>
      </c>
    </row>
    <row r="20">
      <c r="A20" s="6" t="n">
        <v>5</v>
      </c>
      <c r="B20" s="6" t="n">
        <v>671088640</v>
      </c>
      <c r="C20" s="7" t="n">
        <v>0.298607</v>
      </c>
      <c r="D20" s="7" t="n">
        <v>0.30108</v>
      </c>
      <c r="E20" s="7" t="n">
        <v>0.304619</v>
      </c>
      <c r="F20" s="7" t="n">
        <v>0.262278</v>
      </c>
      <c r="G20" s="7" t="n">
        <v>0.290454</v>
      </c>
      <c r="H20" s="7" t="n">
        <v>0.28189</v>
      </c>
      <c r="I20" s="7" t="n">
        <v>0.272838</v>
      </c>
      <c r="J20" s="7" t="n">
        <v>0.253319</v>
      </c>
      <c r="K20" s="7" t="n">
        <v>0.26038</v>
      </c>
      <c r="L20" s="7" t="n">
        <v>0.272488</v>
      </c>
      <c r="M20" s="8">
        <f>IFERROR(AVERAGE(C20:L20),"")</f>
        <v/>
      </c>
      <c r="N20" s="9">
        <f>IFERROR($A20*M$16/M20,"")</f>
        <v/>
      </c>
      <c r="O20" s="9">
        <f>IFERROR(M$16/M20,"")</f>
        <v/>
      </c>
      <c r="P20" s="10">
        <f>A20</f>
        <v/>
      </c>
    </row>
    <row r="21">
      <c r="A21" s="6" t="n">
        <v>6</v>
      </c>
      <c r="B21" s="6" t="n">
        <v>805306368</v>
      </c>
      <c r="C21" s="7" t="n">
        <v>0.299209</v>
      </c>
      <c r="D21" s="7" t="n">
        <v>0.320558</v>
      </c>
      <c r="E21" s="7" t="n">
        <v>0.327927</v>
      </c>
      <c r="F21" s="7" t="n">
        <v>0.321238</v>
      </c>
      <c r="G21" s="7" t="n">
        <v>0.304294</v>
      </c>
      <c r="H21" s="7" t="n">
        <v>0.308512</v>
      </c>
      <c r="I21" s="7" t="n">
        <v>0.302681</v>
      </c>
      <c r="J21" s="7" t="n">
        <v>0.312907</v>
      </c>
      <c r="K21" s="7" t="n">
        <v>0.342932</v>
      </c>
      <c r="L21" s="7" t="n">
        <v>0.367815</v>
      </c>
      <c r="M21" s="8">
        <f>IFERROR(AVERAGE(C21:L21),"")</f>
        <v/>
      </c>
      <c r="N21" s="9">
        <f>IFERROR($A21*M$16/M21,"")</f>
        <v/>
      </c>
      <c r="O21" s="9">
        <f>IFERROR(M$16/M21,"")</f>
        <v/>
      </c>
      <c r="P21" s="10">
        <f>A21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Exercício 3 – Multiplicação de matrizes (versão sequencial, blocking + i-k-j)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>
      <c r="A3" s="5" t="inlineStr">
        <is>
          <t>Threads</t>
        </is>
      </c>
      <c r="B3" s="5" t="inlineStr">
        <is>
          <t>N</t>
        </is>
      </c>
      <c r="C3" s="5" t="inlineStr">
        <is>
          <t>Exec 1</t>
        </is>
      </c>
      <c r="D3" s="5" t="inlineStr">
        <is>
          <t>Exec 2</t>
        </is>
      </c>
      <c r="E3" s="5" t="inlineStr">
        <is>
          <t>Exec 3</t>
        </is>
      </c>
      <c r="F3" s="5" t="inlineStr">
        <is>
          <t>Média (s)</t>
        </is>
      </c>
    </row>
    <row r="4">
      <c r="A4" s="6" t="n">
        <v>1</v>
      </c>
      <c r="B4" s="6" t="n">
        <v>2048</v>
      </c>
      <c r="C4" s="7" t="n">
        <v>6.36009</v>
      </c>
      <c r="D4" s="7" t="n">
        <v>6.447832</v>
      </c>
      <c r="E4" s="7" t="n">
        <v>6.428183</v>
      </c>
      <c r="F4" s="11">
        <f>IFERROR(AVERAGE(C4:E4),"")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Exercício 3 – Multiplicação de matrizes (versão OpenMP, collapse(2) em blocos)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Speedup = média sequencial (aba 'Ex3 Sequencial') / média com p threads. Média de 3 execuções.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5" t="inlineStr">
        <is>
          <t>Threads</t>
        </is>
      </c>
      <c r="B3" s="5" t="inlineStr">
        <is>
          <t>N</t>
        </is>
      </c>
      <c r="C3" s="5" t="inlineStr">
        <is>
          <t>Exec 1</t>
        </is>
      </c>
      <c r="D3" s="5" t="inlineStr">
        <is>
          <t>Exec 2</t>
        </is>
      </c>
      <c r="E3" s="5" t="inlineStr">
        <is>
          <t>Exec 3</t>
        </is>
      </c>
      <c r="F3" s="5" t="inlineStr">
        <is>
          <t>Média (s)</t>
        </is>
      </c>
      <c r="G3" s="5" t="inlineStr">
        <is>
          <t>Speedup</t>
        </is>
      </c>
      <c r="H3" s="5" t="inlineStr">
        <is>
          <t>Eficiência</t>
        </is>
      </c>
      <c r="I3" s="5" t="inlineStr">
        <is>
          <t>Ideal</t>
        </is>
      </c>
    </row>
    <row r="4">
      <c r="A4" s="6" t="n">
        <v>1</v>
      </c>
      <c r="B4" s="6" t="n">
        <v>2048</v>
      </c>
      <c r="C4" s="7" t="n">
        <v>3.770189</v>
      </c>
      <c r="D4" s="7" t="n">
        <v>3.801928</v>
      </c>
      <c r="E4" s="7" t="n">
        <v>3.894094</v>
      </c>
      <c r="F4" s="11">
        <f>IFERROR(AVERAGE(C4:E4),"")</f>
        <v/>
      </c>
      <c r="G4" s="12">
        <f>IFERROR('Ex3 Sequencial'!$F$4/F4,"")</f>
        <v/>
      </c>
      <c r="H4" s="12">
        <f>IFERROR(G4/A4,"")</f>
        <v/>
      </c>
      <c r="I4" s="13">
        <f>A4</f>
        <v/>
      </c>
    </row>
    <row r="5">
      <c r="A5" s="6" t="n">
        <v>2</v>
      </c>
      <c r="B5" s="6" t="n">
        <v>2048</v>
      </c>
      <c r="C5" s="7" t="n">
        <v>3.897507</v>
      </c>
      <c r="D5" s="7" t="n">
        <v>3.822339</v>
      </c>
      <c r="E5" s="7" t="n">
        <v>3.755857</v>
      </c>
      <c r="F5" s="11">
        <f>IFERROR(AVERAGE(C5:E5),"")</f>
        <v/>
      </c>
      <c r="G5" s="12">
        <f>IFERROR('Ex3 Sequencial'!$F$4/F5,"")</f>
        <v/>
      </c>
      <c r="H5" s="12">
        <f>IFERROR(G5/A5,"")</f>
        <v/>
      </c>
      <c r="I5" s="13">
        <f>A5</f>
        <v/>
      </c>
    </row>
    <row r="6">
      <c r="A6" s="6" t="n">
        <v>3</v>
      </c>
      <c r="B6" s="6" t="n">
        <v>2048</v>
      </c>
      <c r="C6" s="7" t="n">
        <v>3.817545</v>
      </c>
      <c r="D6" s="7" t="n">
        <v>3.894183</v>
      </c>
      <c r="E6" s="7" t="n">
        <v>3.788929</v>
      </c>
      <c r="F6" s="11">
        <f>IFERROR(AVERAGE(C6:E6),"")</f>
        <v/>
      </c>
      <c r="G6" s="12">
        <f>IFERROR('Ex3 Sequencial'!$F$4/F6,"")</f>
        <v/>
      </c>
      <c r="H6" s="12">
        <f>IFERROR(G6/A6,"")</f>
        <v/>
      </c>
      <c r="I6" s="13">
        <f>A6</f>
        <v/>
      </c>
    </row>
    <row r="7">
      <c r="A7" s="6" t="n">
        <v>4</v>
      </c>
      <c r="B7" s="6" t="n">
        <v>2048</v>
      </c>
      <c r="C7" s="7" t="n">
        <v>3.798123</v>
      </c>
      <c r="D7" s="7" t="n">
        <v>3.751809</v>
      </c>
      <c r="E7" s="7" t="n">
        <v>3.845271</v>
      </c>
      <c r="F7" s="11">
        <f>IFERROR(AVERAGE(C7:E7),"")</f>
        <v/>
      </c>
      <c r="G7" s="12">
        <f>IFERROR('Ex3 Sequencial'!$F$4/F7,"")</f>
        <v/>
      </c>
      <c r="H7" s="12">
        <f>IFERROR(G7/A7,"")</f>
        <v/>
      </c>
      <c r="I7" s="13">
        <f>A7</f>
        <v/>
      </c>
    </row>
    <row r="8">
      <c r="A8" s="6" t="n">
        <v>5</v>
      </c>
      <c r="B8" s="6" t="n">
        <v>2048</v>
      </c>
      <c r="C8" s="7" t="n">
        <v>4.288869</v>
      </c>
      <c r="D8" s="7" t="n">
        <v>3.914067</v>
      </c>
      <c r="E8" s="7" t="n">
        <v>3.733473</v>
      </c>
      <c r="F8" s="11">
        <f>IFERROR(AVERAGE(C8:E8),"")</f>
        <v/>
      </c>
      <c r="G8" s="12">
        <f>IFERROR('Ex3 Sequencial'!$F$4/F8,"")</f>
        <v/>
      </c>
      <c r="H8" s="12">
        <f>IFERROR(G8/A8,"")</f>
        <v/>
      </c>
      <c r="I8" s="13">
        <f>A8</f>
        <v/>
      </c>
    </row>
    <row r="9">
      <c r="A9" s="6" t="n">
        <v>6</v>
      </c>
      <c r="B9" s="6" t="n">
        <v>2048</v>
      </c>
      <c r="C9" s="7" t="n">
        <v>4.10969</v>
      </c>
      <c r="D9" s="7" t="n">
        <v>3.880927</v>
      </c>
      <c r="E9" s="7" t="n">
        <v>3.74529</v>
      </c>
      <c r="F9" s="11">
        <f>IFERROR(AVERAGE(C9:E9),"")</f>
        <v/>
      </c>
      <c r="G9" s="12">
        <f>IFERROR('Ex3 Sequencial'!$F$4/F9,"")</f>
        <v/>
      </c>
      <c r="H9" s="12">
        <f>IFERROR(G9/A9,"")</f>
        <v/>
      </c>
      <c r="I9" s="13">
        <f>A9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2026-10-17T01:07:09Z</dcterms:created>
  <dcterms:modified xsi:type="dcterms:W3CDTF">2026-10-17T01:07:09Z</dcterms:modified>
</cp:coreProperties>
</file>